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ribir hoy" sheetId="1" state="visible" r:id="rId3"/>
    <sheet name="Todas las clínic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Se calcula: (respuesta − envío) en horas. Sin respuesta: dejar vacío y poner "No" en ¿Respondió?</t>
        </r>
      </text>
    </comment>
  </commentList>
</comments>
</file>

<file path=xl/sharedStrings.xml><?xml version="1.0" encoding="utf-8"?>
<sst xmlns="http://schemas.openxmlformats.org/spreadsheetml/2006/main" count="335" uniqueCount="215">
  <si>
    <t xml:space="preserve">Mystery shopping — clínicas dentales con WhatsApp</t>
  </si>
  <si>
    <t xml:space="preserve">Mensaje a enviar (igual para todas): "Hola, buenas noches. ¿Cuánto vale una limpieza dental y tienen cita disponible esta semana?"</t>
  </si>
  <si>
    <t xml:space="preserve">Llena solo las celdas amarillas. Fecha y hora en formato dd/mm/aaaa hh:mm (ej. 28/10/2026 21:35). "Horas en responder" se calcula solo. La fila gris es un ejemplo.</t>
  </si>
  <si>
    <t xml:space="preserve">#</t>
  </si>
  <si>
    <t xml:space="preserve">Clínica</t>
  </si>
  <si>
    <t xml:space="preserve">Ciudad</t>
  </si>
  <si>
    <t xml:space="preserve">Dirección</t>
  </si>
  <si>
    <t xml:space="preserve">WhatsApp</t>
  </si>
  <si>
    <t xml:space="preserve">Fecha y hora de envío</t>
  </si>
  <si>
    <t xml:space="preserve">Fecha y hora de respuesta</t>
  </si>
  <si>
    <t xml:space="preserve">Horas en responder</t>
  </si>
  <si>
    <t xml:space="preserve">¿Respondió?</t>
  </si>
  <si>
    <t xml:space="preserve">¿Dio el precio?</t>
  </si>
  <si>
    <t xml:space="preserve">¿Ofreció cita?</t>
  </si>
  <si>
    <t xml:space="preserve">¿Persona o automático?</t>
  </si>
  <si>
    <t xml:space="preserve">Notas</t>
  </si>
  <si>
    <t xml:space="preserve">Ej.</t>
  </si>
  <si>
    <t xml:space="preserve">Clínica de ejemplo</t>
  </si>
  <si>
    <t xml:space="preserve">Pereira</t>
  </si>
  <si>
    <t xml:space="preserve">Cra. 0 #0-00</t>
  </si>
  <si>
    <t xml:space="preserve">300 000 0000</t>
  </si>
  <si>
    <t xml:space="preserve">Sí</t>
  </si>
  <si>
    <t xml:space="preserve">Persona</t>
  </si>
  <si>
    <t xml:space="preserve">Respondió al otro día; no preguntó mi nombre</t>
  </si>
  <si>
    <t xml:space="preserve">Clínicas Odontológicas Arte Dental DG SAS</t>
  </si>
  <si>
    <t xml:space="preserve">Dosquebradas</t>
  </si>
  <si>
    <t xml:space="preserve">Calle 35 #15-19, C.C. Empresarial Guadalupe</t>
  </si>
  <si>
    <t xml:space="preserve">320 856 7282</t>
  </si>
  <si>
    <t xml:space="preserve">Odontología Integral Dosquebradas</t>
  </si>
  <si>
    <t xml:space="preserve">Calle 18 #16-06, Santa Mónica</t>
  </si>
  <si>
    <t xml:space="preserve">316 479 2379</t>
  </si>
  <si>
    <t xml:space="preserve">Maxisonrisas</t>
  </si>
  <si>
    <t xml:space="preserve">Calle 21 #17-78 Av. La Pradera; Calle 8 #19-80 Av. Juan B. Gutiérrez</t>
  </si>
  <si>
    <t xml:space="preserve">320 792 4477</t>
  </si>
  <si>
    <t xml:space="preserve">Clident Odontología Integral</t>
  </si>
  <si>
    <t xml:space="preserve">Cl. 35 #14-57</t>
  </si>
  <si>
    <t xml:space="preserve">312 337 3960</t>
  </si>
  <si>
    <t xml:space="preserve">DentalEs</t>
  </si>
  <si>
    <t xml:space="preserve">Cra. 16 #42-39</t>
  </si>
  <si>
    <t xml:space="preserve">322 560 3840</t>
  </si>
  <si>
    <t xml:space="preserve">Proced Odontología</t>
  </si>
  <si>
    <t xml:space="preserve">Cra. 13 #11-80 Cons. 805, Ed. Capitol (Circunvalar)</t>
  </si>
  <si>
    <t xml:space="preserve">311 687 5509</t>
  </si>
  <si>
    <t xml:space="preserve">Del Castillo Odontología Especializada</t>
  </si>
  <si>
    <t xml:space="preserve">Calle 25 #8-30</t>
  </si>
  <si>
    <t xml:space="preserve">314 814 2403</t>
  </si>
  <si>
    <t xml:space="preserve">Consultorio Dr. Roberto Granados</t>
  </si>
  <si>
    <t xml:space="preserve">Cra. 14b #10-57 Cons. 502, Ed. Alpes 10</t>
  </si>
  <si>
    <t xml:space="preserve">304 237 2914</t>
  </si>
  <si>
    <t xml:space="preserve">Consultorio Dr. Ricardo Orozco</t>
  </si>
  <si>
    <t xml:space="preserve">Cra. 18 #12-75 Torre 1 Cons. 904, Megacentro Pinares</t>
  </si>
  <si>
    <t xml:space="preserve">314 661 2227 / 311 841 7498</t>
  </si>
  <si>
    <t xml:space="preserve">Tu Odontólogo Pereira</t>
  </si>
  <si>
    <t xml:space="preserve">320 761 1546</t>
  </si>
  <si>
    <t xml:space="preserve">PB Odontología (Dra. Laura Sánchez)</t>
  </si>
  <si>
    <t xml:space="preserve">Cra. 18 #12-75 Torre 1 Piso 12 Cons. 1211, Megacentro Pinares</t>
  </si>
  <si>
    <t xml:space="preserve">318 226 9139</t>
  </si>
  <si>
    <t xml:space="preserve">Periodoncia e Implantes Dra. Johanna Calderón</t>
  </si>
  <si>
    <t xml:space="preserve">C.C. Cerritos Mall, Torre Médica, Vía Cerritos Km 5</t>
  </si>
  <si>
    <t xml:space="preserve">314 602 4619</t>
  </si>
  <si>
    <t xml:space="preserve">Odontología Pereira AGB</t>
  </si>
  <si>
    <t xml:space="preserve">Cra. 7 #16-50 Local 109A</t>
  </si>
  <si>
    <t xml:space="preserve">320 761 5254</t>
  </si>
  <si>
    <t xml:space="preserve">Respondieron</t>
  </si>
  <si>
    <t xml:space="preserve">Promedio de horas en responder</t>
  </si>
  <si>
    <t xml:space="preserve">29 clínicas dentales de Pereira y Dosquebradas. Prioridad A = tiene WhatsApp publicado. Datos de fuentes públicas: verificar antes de contactar.</t>
  </si>
  <si>
    <t xml:space="preserve">ID</t>
  </si>
  <si>
    <t xml:space="preserve">Teléfono fijo</t>
  </si>
  <si>
    <t xml:space="preserve">Celular / WhatsApp</t>
  </si>
  <si>
    <t xml:space="preserve">Web o redes</t>
  </si>
  <si>
    <t xml:space="preserve">Correo</t>
  </si>
  <si>
    <t xml:space="preserve">Prioridad</t>
  </si>
  <si>
    <t xml:space="preserve">Fuente</t>
  </si>
  <si>
    <t xml:space="preserve">16</t>
  </si>
  <si>
    <t xml:space="preserve">A</t>
  </si>
  <si>
    <t xml:space="preserve">https://www.informacolombia.com/directorio-empresas/informacion-empresa/clinicas-odontologicas-arte-dental-dgasas-risaralda</t>
  </si>
  <si>
    <t xml:space="preserve">69</t>
  </si>
  <si>
    <t xml:space="preserve">facebook.com/odontologiaintegraldosquebradas</t>
  </si>
  <si>
    <t xml:space="preserve">https://www.facebook.com/odontologiaintegraldosquebradas/</t>
  </si>
  <si>
    <t xml:space="preserve">70</t>
  </si>
  <si>
    <t xml:space="preserve">maxisonrisas.co</t>
  </si>
  <si>
    <t xml:space="preserve">Dos sedes: candidato plan Pro</t>
  </si>
  <si>
    <t xml:space="preserve">https://www.maxisonrisas.co/</t>
  </si>
  <si>
    <t xml:space="preserve">71</t>
  </si>
  <si>
    <t xml:space="preserve">clidentodontologia.com</t>
  </si>
  <si>
    <t xml:space="preserve">Tiene Facebook/Instagram/TikTok (activos en redes)</t>
  </si>
  <si>
    <t xml:space="preserve">https://www.clidentodontologia.com/contacto/</t>
  </si>
  <si>
    <t xml:space="preserve">72</t>
  </si>
  <si>
    <t xml:space="preserve">facebook.com/dentalesdqs</t>
  </si>
  <si>
    <t xml:space="preserve">Odontólogos egresados UAM</t>
  </si>
  <si>
    <t xml:space="preserve">https://www.facebook.com/dentalesdqs/</t>
  </si>
  <si>
    <t xml:space="preserve">1</t>
  </si>
  <si>
    <t xml:space="preserve">proced.com.co</t>
  </si>
  <si>
    <t xml:space="preserve">WhatsApp publicado en su web</t>
  </si>
  <si>
    <t xml:space="preserve">https://proced.com.co/</t>
  </si>
  <si>
    <t xml:space="preserve">2</t>
  </si>
  <si>
    <t xml:space="preserve">325 3708</t>
  </si>
  <si>
    <t xml:space="preserve">delcastilloodontologia.com</t>
  </si>
  <si>
    <t xml:space="preserve">Implantes y ortodoncia; celular también es WhatsApp</t>
  </si>
  <si>
    <t xml:space="preserve">https://delcastilloodontologia.com/</t>
  </si>
  <si>
    <t xml:space="preserve">3</t>
  </si>
  <si>
    <t xml:space="preserve">robertogranados.com</t>
  </si>
  <si>
    <t xml:space="preserve">L-S 8:00-17:00</t>
  </si>
  <si>
    <t xml:space="preserve">https://robertogranados.com/odontologia-en-pereira/</t>
  </si>
  <si>
    <t xml:space="preserve">4</t>
  </si>
  <si>
    <t xml:space="preserve">odontologoricardoorozco.com</t>
  </si>
  <si>
    <t xml:space="preserve">Ya tiene agendamiento digital en su web (evaluar qué le falta)</t>
  </si>
  <si>
    <t xml:space="preserve">https://www.odontologoricardoorozco.com/</t>
  </si>
  <si>
    <t xml:space="preserve">5</t>
  </si>
  <si>
    <t xml:space="preserve">iBocca Clínica Dental</t>
  </si>
  <si>
    <t xml:space="preserve">Cra. 15 #4-50 Local 102A, Ed. Molinos de Aragón (Circunvalar)</t>
  </si>
  <si>
    <t xml:space="preserve">(link de WhatsApp en web)</t>
  </si>
  <si>
    <t xml:space="preserve">iboccaclinicadental.com</t>
  </si>
  <si>
    <t xml:space="preserve">Número no visible en resultados; tomar del sitio</t>
  </si>
  <si>
    <t xml:space="preserve">https://iboccaclinicadental.com/en/inicio/</t>
  </si>
  <si>
    <t xml:space="preserve">8</t>
  </si>
  <si>
    <t xml:space="preserve">instagram.com/tuodontologopereira</t>
  </si>
  <si>
    <t xml:space="preserve">Pide citas por WhatsApp; L-V 8-18 y S 9-12</t>
  </si>
  <si>
    <t xml:space="preserve">https://www.instagram.com/tuodontologopereira/</t>
  </si>
  <si>
    <t xml:space="preserve">10</t>
  </si>
  <si>
    <t xml:space="preserve">pbodontologia.com</t>
  </si>
  <si>
    <t xml:space="preserve">ortolpsy@gmail.com</t>
  </si>
  <si>
    <t xml:space="preserve">Ortodoncia; horario partido L-V</t>
  </si>
  <si>
    <t xml:space="preserve">https://pbodontologia.com/</t>
  </si>
  <si>
    <t xml:space="preserve">11</t>
  </si>
  <si>
    <t xml:space="preserve">periodoncistajohannacalderon.com</t>
  </si>
  <si>
    <t xml:space="preserve">L-V 7-19 y S 8-13</t>
  </si>
  <si>
    <t xml:space="preserve">https://en.periodoncistajohannacalderon.com/locations/clinica-odontologica-en-pereira-cerritos-mall/</t>
  </si>
  <si>
    <t xml:space="preserve">12</t>
  </si>
  <si>
    <t xml:space="preserve">odontologiapereiraagb.com</t>
  </si>
  <si>
    <t xml:space="preserve">Implantes y ortodoncia</t>
  </si>
  <si>
    <t xml:space="preserve">https://www.odontologiapereiraagb.com/</t>
  </si>
  <si>
    <t xml:space="preserve">15</t>
  </si>
  <si>
    <t xml:space="preserve">Ortocentro (sede Dosquebradas)</t>
  </si>
  <si>
    <t xml:space="preserve">C.C. Plaza del Sol Local 207</t>
  </si>
  <si>
    <t xml:space="preserve">(606) 322 1818</t>
  </si>
  <si>
    <t xml:space="preserve">ortocentro.com.co</t>
  </si>
  <si>
    <t xml:space="preserve">B</t>
  </si>
  <si>
    <t xml:space="preserve">Mismo grupo que id 14</t>
  </si>
  <si>
    <t xml:space="preserve">https://clinicasyhospitales.com.co/ips/ortocentro-dosquebradas/odontologia-general</t>
  </si>
  <si>
    <t xml:space="preserve">17</t>
  </si>
  <si>
    <t xml:space="preserve">Centro Odontológico Odonto Sonrisas</t>
  </si>
  <si>
    <t xml:space="preserve">Calle 15 #16-51, Valher</t>
  </si>
  <si>
    <t xml:space="preserve">(606) 330 7036</t>
  </si>
  <si>
    <t xml:space="preserve">Solo fijo encontrado</t>
  </si>
  <si>
    <t xml:space="preserve">https://www.nexdu.com/co/dosquebradas-ris/empresa/centro-odontologico-odonto-sonrisas-411515</t>
  </si>
  <si>
    <t xml:space="preserve">18</t>
  </si>
  <si>
    <t xml:space="preserve">Oral Estética</t>
  </si>
  <si>
    <t xml:space="preserve">Cra. 16 #19-25, Av. Simón Bolívar</t>
  </si>
  <si>
    <t xml:space="preserve">(606) 330 2129</t>
  </si>
  <si>
    <t xml:space="preserve">https://2pos.org/63384/5110</t>
  </si>
  <si>
    <t xml:space="preserve">73</t>
  </si>
  <si>
    <t xml:space="preserve">OralEstética Dosquebradas (Instagram)</t>
  </si>
  <si>
    <t xml:space="preserve">La Pradera / Guadalupe</t>
  </si>
  <si>
    <t xml:space="preserve">instagram.com/oralesteticadq</t>
  </si>
  <si>
    <t xml:space="preserve">Posiblemente el mismo negocio que id 18</t>
  </si>
  <si>
    <t xml:space="preserve">https://www.instagram.com/oralesteticadq/</t>
  </si>
  <si>
    <t xml:space="preserve">6</t>
  </si>
  <si>
    <t xml:space="preserve">Odontostetic</t>
  </si>
  <si>
    <t xml:space="preserve">Av. Circunvalar Cl. 7-14 Local 112</t>
  </si>
  <si>
    <t xml:space="preserve">(incompleto)</t>
  </si>
  <si>
    <t xml:space="preserve">Teléfono truncado en directorio; verificar</t>
  </si>
  <si>
    <t xml:space="preserve">https://www.planetacolombia.com/odontostetic-F1709C6051FD4</t>
  </si>
  <si>
    <t xml:space="preserve">7</t>
  </si>
  <si>
    <t xml:space="preserve">Clínica Odontológica Oral Center</t>
  </si>
  <si>
    <t xml:space="preserve">Av. 30 de Agosto #46-61</t>
  </si>
  <si>
    <t xml:space="preserve">https://www.planetacolombia.com/clinica-odontologica-oral-center-F120FC40219D942</t>
  </si>
  <si>
    <t xml:space="preserve">9</t>
  </si>
  <si>
    <t xml:space="preserve">Multident</t>
  </si>
  <si>
    <t xml:space="preserve">Av. Circunvalar #9-04</t>
  </si>
  <si>
    <t xml:space="preserve">(606) 334 9934</t>
  </si>
  <si>
    <t xml:space="preserve">https://www.planetacolombia.com/multident-F1709C60518D4</t>
  </si>
  <si>
    <t xml:space="preserve">13</t>
  </si>
  <si>
    <t xml:space="preserve">Oral Unidad Odontológica</t>
  </si>
  <si>
    <t xml:space="preserve">Cra. 5 #14-63</t>
  </si>
  <si>
    <t xml:space="preserve">oralunidadodontologica.com</t>
  </si>
  <si>
    <t xml:space="preserve">Sin teléfono en resultados; tomar del sitio</t>
  </si>
  <si>
    <t xml:space="preserve">https://www.oralunidadodontologica.com/</t>
  </si>
  <si>
    <t xml:space="preserve">14</t>
  </si>
  <si>
    <t xml:space="preserve">Ortocentro (sede Pereira)</t>
  </si>
  <si>
    <t xml:space="preserve">Cra. 6 #22-48</t>
  </si>
  <si>
    <t xml:space="preserve">(606) 324 4999</t>
  </si>
  <si>
    <t xml:space="preserve">Multisede (Pereira/Dosquebradas/La Virginia): buen candidato plan Integral</t>
  </si>
  <si>
    <t xml:space="preserve">https://www.ortocentro.com.co/es/</t>
  </si>
  <si>
    <t xml:space="preserve">63</t>
  </si>
  <si>
    <t xml:space="preserve">White Center Pereira</t>
  </si>
  <si>
    <t xml:space="preserve">whitecenter.com.co</t>
  </si>
  <si>
    <t xml:space="preserve">Blanqueamiento y estética dental; tomar contacto del sitio</t>
  </si>
  <si>
    <t xml:space="preserve">https://whitecenter.com.co/landing-servicios</t>
  </si>
  <si>
    <t xml:space="preserve">64</t>
  </si>
  <si>
    <t xml:space="preserve">Odontólogos y Sonrisas</t>
  </si>
  <si>
    <t xml:space="preserve">(WhatsApp en web)</t>
  </si>
  <si>
    <t xml:space="preserve">odontologosysonrisas.com.co</t>
  </si>
  <si>
    <t xml:space="preserve">Diseño de sonrisa e implantes; valoración inicial sin costo según su web</t>
  </si>
  <si>
    <t xml:space="preserve">https://odontologosysonrisas.com.co/areas-de-servicio/pereira-co/</t>
  </si>
  <si>
    <t xml:space="preserve">65</t>
  </si>
  <si>
    <t xml:space="preserve">Happy &amp; Orthomia Clínica Odontológica</t>
  </si>
  <si>
    <t xml:space="preserve">happyorthomiaclinicadental.com</t>
  </si>
  <si>
    <t xml:space="preserve">Sedes en Armenia/Pereira/Cartago: candidato plan Pro</t>
  </si>
  <si>
    <t xml:space="preserve">https://www.happyorthomiaclinicadental.com/</t>
  </si>
  <si>
    <t xml:space="preserve">66</t>
  </si>
  <si>
    <t xml:space="preserve">Dra. Lina María Cataño Restrepo</t>
  </si>
  <si>
    <t xml:space="preserve">Calle 14 #27-25, Álamos</t>
  </si>
  <si>
    <t xml:space="preserve">doctoralia.co</t>
  </si>
  <si>
    <t xml:space="preserve">Consulta en línea $150.000 según Doctoralia</t>
  </si>
  <si>
    <t xml:space="preserve">https://www.doctoralia.co/tratamientos-servicios/ortodoncia/pereira</t>
  </si>
  <si>
    <t xml:space="preserve">67</t>
  </si>
  <si>
    <t xml:space="preserve">Clínica Sonreír Cuba</t>
  </si>
  <si>
    <t xml:space="preserve">Cra. 25 #68B-11, Cuba</t>
  </si>
  <si>
    <t xml:space="preserve">Blanqueamiento desde $250.000 según Doctoralia</t>
  </si>
  <si>
    <t xml:space="preserve">https://www.doctoralia.co/tratamientos-servicios/blanqueamiento-dental/pereira</t>
  </si>
  <si>
    <t xml:space="preserve">68</t>
  </si>
  <si>
    <t xml:space="preserve">Dr. Alejandro Ramírez Valencia</t>
  </si>
  <si>
    <t xml:space="preserve">Megacentro Pinares, Torre 2 Piso 9</t>
  </si>
  <si>
    <t xml:space="preserve">Ruta de visitas Megacentro Pinares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</si>
</sst>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0.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E5C4F"/>
        <bgColor rgb="FF008080"/>
      </patternFill>
    </fill>
    <fill>
      <patternFill patternType="solid">
        <fgColor rgb="FFEEEEEE"/>
        <bgColor rgb="FFFFF2CC"/>
      </patternFill>
    </fill>
    <fill>
      <patternFill patternType="solid">
        <fgColor rgb="FFFFF2CC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4F"/>
      <rgbColor rgb="FFCCCCCC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11" min="8" style="0" width="11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15" hidden="false" customHeight="false" outlineLevel="0" collapsed="false">
      <c r="A6" s="5" t="s">
        <v>16</v>
      </c>
      <c r="B6" s="6" t="s">
        <v>17</v>
      </c>
      <c r="C6" s="5" t="s">
        <v>18</v>
      </c>
      <c r="D6" s="6" t="s">
        <v>19</v>
      </c>
      <c r="E6" s="5" t="s">
        <v>20</v>
      </c>
      <c r="F6" s="7" t="n">
        <v>46323.8993055556</v>
      </c>
      <c r="G6" s="7" t="n">
        <v>46324.3819444445</v>
      </c>
      <c r="H6" s="8" t="n">
        <f aca="false">IF(AND(ISNUMBER(F6),ISNUMBER(G6)),ROUND((G6-F6)*24,1),"")</f>
        <v>11.6</v>
      </c>
      <c r="I6" s="5" t="s">
        <v>21</v>
      </c>
      <c r="J6" s="5" t="s">
        <v>21</v>
      </c>
      <c r="K6" s="5" t="s">
        <v>21</v>
      </c>
      <c r="L6" s="5" t="s">
        <v>22</v>
      </c>
      <c r="M6" s="6" t="s">
        <v>23</v>
      </c>
    </row>
    <row r="7" customFormat="false" ht="15" hidden="false" customHeight="false" outlineLevel="0" collapsed="false">
      <c r="A7" s="9" t="n">
        <v>1</v>
      </c>
      <c r="B7" s="10" t="s">
        <v>24</v>
      </c>
      <c r="C7" s="9" t="s">
        <v>25</v>
      </c>
      <c r="D7" s="10" t="s">
        <v>26</v>
      </c>
      <c r="E7" s="9" t="s">
        <v>27</v>
      </c>
      <c r="F7" s="11"/>
      <c r="G7" s="11"/>
      <c r="H7" s="12" t="str">
        <f aca="false">IF(AND(ISNUMBER(F7),ISNUMBER(G7)),ROUND((G7-F7)*24,1),"")</f>
        <v/>
      </c>
      <c r="I7" s="13"/>
      <c r="J7" s="13"/>
      <c r="K7" s="13"/>
      <c r="L7" s="13"/>
      <c r="M7" s="14"/>
    </row>
    <row r="8" customFormat="false" ht="15" hidden="false" customHeight="false" outlineLevel="0" collapsed="false">
      <c r="A8" s="9" t="n">
        <v>2</v>
      </c>
      <c r="B8" s="10" t="s">
        <v>28</v>
      </c>
      <c r="C8" s="9" t="s">
        <v>25</v>
      </c>
      <c r="D8" s="10" t="s">
        <v>29</v>
      </c>
      <c r="E8" s="9" t="s">
        <v>30</v>
      </c>
      <c r="F8" s="11"/>
      <c r="G8" s="11"/>
      <c r="H8" s="12" t="str">
        <f aca="false">IF(AND(ISNUMBER(F8),ISNUMBER(G8)),ROUND((G8-F8)*24,1),"")</f>
        <v/>
      </c>
      <c r="I8" s="13"/>
      <c r="J8" s="13"/>
      <c r="K8" s="13"/>
      <c r="L8" s="13"/>
      <c r="M8" s="14"/>
    </row>
    <row r="9" customFormat="false" ht="23.85" hidden="false" customHeight="false" outlineLevel="0" collapsed="false">
      <c r="A9" s="9" t="n">
        <v>3</v>
      </c>
      <c r="B9" s="10" t="s">
        <v>31</v>
      </c>
      <c r="C9" s="9" t="s">
        <v>25</v>
      </c>
      <c r="D9" s="10" t="s">
        <v>32</v>
      </c>
      <c r="E9" s="9" t="s">
        <v>33</v>
      </c>
      <c r="F9" s="11"/>
      <c r="G9" s="11"/>
      <c r="H9" s="12" t="str">
        <f aca="false">IF(AND(ISNUMBER(F9),ISNUMBER(G9)),ROUND((G9-F9)*24,1),"")</f>
        <v/>
      </c>
      <c r="I9" s="13"/>
      <c r="J9" s="13"/>
      <c r="K9" s="13"/>
      <c r="L9" s="13"/>
      <c r="M9" s="14"/>
    </row>
    <row r="10" customFormat="false" ht="15" hidden="false" customHeight="false" outlineLevel="0" collapsed="false">
      <c r="A10" s="9" t="n">
        <v>4</v>
      </c>
      <c r="B10" s="10" t="s">
        <v>34</v>
      </c>
      <c r="C10" s="9" t="s">
        <v>25</v>
      </c>
      <c r="D10" s="10" t="s">
        <v>35</v>
      </c>
      <c r="E10" s="9" t="s">
        <v>36</v>
      </c>
      <c r="F10" s="11"/>
      <c r="G10" s="11"/>
      <c r="H10" s="12" t="str">
        <f aca="false">IF(AND(ISNUMBER(F10),ISNUMBER(G10)),ROUND((G10-F10)*24,1),"")</f>
        <v/>
      </c>
      <c r="I10" s="13"/>
      <c r="J10" s="13"/>
      <c r="K10" s="13"/>
      <c r="L10" s="13"/>
      <c r="M10" s="14"/>
    </row>
    <row r="11" customFormat="false" ht="15" hidden="false" customHeight="false" outlineLevel="0" collapsed="false">
      <c r="A11" s="9" t="n">
        <v>5</v>
      </c>
      <c r="B11" s="10" t="s">
        <v>37</v>
      </c>
      <c r="C11" s="9" t="s">
        <v>25</v>
      </c>
      <c r="D11" s="10" t="s">
        <v>38</v>
      </c>
      <c r="E11" s="9" t="s">
        <v>39</v>
      </c>
      <c r="F11" s="11"/>
      <c r="G11" s="11"/>
      <c r="H11" s="12" t="str">
        <f aca="false">IF(AND(ISNUMBER(F11),ISNUMBER(G11)),ROUND((G11-F11)*24,1),"")</f>
        <v/>
      </c>
      <c r="I11" s="13"/>
      <c r="J11" s="13"/>
      <c r="K11" s="13"/>
      <c r="L11" s="13"/>
      <c r="M11" s="14"/>
    </row>
    <row r="12" customFormat="false" ht="23.85" hidden="false" customHeight="false" outlineLevel="0" collapsed="false">
      <c r="A12" s="9" t="n">
        <v>6</v>
      </c>
      <c r="B12" s="10" t="s">
        <v>40</v>
      </c>
      <c r="C12" s="9" t="s">
        <v>18</v>
      </c>
      <c r="D12" s="10" t="s">
        <v>41</v>
      </c>
      <c r="E12" s="9" t="s">
        <v>42</v>
      </c>
      <c r="F12" s="11"/>
      <c r="G12" s="11"/>
      <c r="H12" s="12" t="str">
        <f aca="false">IF(AND(ISNUMBER(F12),ISNUMBER(G12)),ROUND((G12-F12)*24,1),"")</f>
        <v/>
      </c>
      <c r="I12" s="13"/>
      <c r="J12" s="13"/>
      <c r="K12" s="13"/>
      <c r="L12" s="13"/>
      <c r="M12" s="14"/>
    </row>
    <row r="13" customFormat="false" ht="15" hidden="false" customHeight="false" outlineLevel="0" collapsed="false">
      <c r="A13" s="9" t="n">
        <v>7</v>
      </c>
      <c r="B13" s="10" t="s">
        <v>43</v>
      </c>
      <c r="C13" s="9" t="s">
        <v>18</v>
      </c>
      <c r="D13" s="10" t="s">
        <v>44</v>
      </c>
      <c r="E13" s="9" t="s">
        <v>45</v>
      </c>
      <c r="F13" s="11"/>
      <c r="G13" s="11"/>
      <c r="H13" s="12" t="str">
        <f aca="false">IF(AND(ISNUMBER(F13),ISNUMBER(G13)),ROUND((G13-F13)*24,1),"")</f>
        <v/>
      </c>
      <c r="I13" s="13"/>
      <c r="J13" s="13"/>
      <c r="K13" s="13"/>
      <c r="L13" s="13"/>
      <c r="M13" s="14"/>
    </row>
    <row r="14" customFormat="false" ht="15" hidden="false" customHeight="false" outlineLevel="0" collapsed="false">
      <c r="A14" s="9" t="n">
        <v>8</v>
      </c>
      <c r="B14" s="10" t="s">
        <v>46</v>
      </c>
      <c r="C14" s="9" t="s">
        <v>18</v>
      </c>
      <c r="D14" s="10" t="s">
        <v>47</v>
      </c>
      <c r="E14" s="9" t="s">
        <v>48</v>
      </c>
      <c r="F14" s="11"/>
      <c r="G14" s="11"/>
      <c r="H14" s="12" t="str">
        <f aca="false">IF(AND(ISNUMBER(F14),ISNUMBER(G14)),ROUND((G14-F14)*24,1),"")</f>
        <v/>
      </c>
      <c r="I14" s="13"/>
      <c r="J14" s="13"/>
      <c r="K14" s="13"/>
      <c r="L14" s="13"/>
      <c r="M14" s="14"/>
    </row>
    <row r="15" customFormat="false" ht="23.85" hidden="false" customHeight="false" outlineLevel="0" collapsed="false">
      <c r="A15" s="9" t="n">
        <v>9</v>
      </c>
      <c r="B15" s="10" t="s">
        <v>49</v>
      </c>
      <c r="C15" s="9" t="s">
        <v>18</v>
      </c>
      <c r="D15" s="10" t="s">
        <v>50</v>
      </c>
      <c r="E15" s="9" t="s">
        <v>51</v>
      </c>
      <c r="F15" s="11"/>
      <c r="G15" s="11"/>
      <c r="H15" s="12" t="str">
        <f aca="false">IF(AND(ISNUMBER(F15),ISNUMBER(G15)),ROUND((G15-F15)*24,1),"")</f>
        <v/>
      </c>
      <c r="I15" s="13"/>
      <c r="J15" s="13"/>
      <c r="K15" s="13"/>
      <c r="L15" s="13"/>
      <c r="M15" s="14"/>
    </row>
    <row r="16" customFormat="false" ht="15" hidden="false" customHeight="false" outlineLevel="0" collapsed="false">
      <c r="A16" s="9" t="n">
        <v>10</v>
      </c>
      <c r="B16" s="10" t="s">
        <v>52</v>
      </c>
      <c r="C16" s="9" t="s">
        <v>18</v>
      </c>
      <c r="D16" s="10"/>
      <c r="E16" s="9" t="s">
        <v>53</v>
      </c>
      <c r="F16" s="11"/>
      <c r="G16" s="11"/>
      <c r="H16" s="12" t="str">
        <f aca="false">IF(AND(ISNUMBER(F16),ISNUMBER(G16)),ROUND((G16-F16)*24,1),"")</f>
        <v/>
      </c>
      <c r="I16" s="13"/>
      <c r="J16" s="13"/>
      <c r="K16" s="13"/>
      <c r="L16" s="13"/>
      <c r="M16" s="14"/>
    </row>
    <row r="17" customFormat="false" ht="23.85" hidden="false" customHeight="false" outlineLevel="0" collapsed="false">
      <c r="A17" s="9" t="n">
        <v>11</v>
      </c>
      <c r="B17" s="10" t="s">
        <v>54</v>
      </c>
      <c r="C17" s="9" t="s">
        <v>18</v>
      </c>
      <c r="D17" s="10" t="s">
        <v>55</v>
      </c>
      <c r="E17" s="9" t="s">
        <v>56</v>
      </c>
      <c r="F17" s="11"/>
      <c r="G17" s="11"/>
      <c r="H17" s="12" t="str">
        <f aca="false">IF(AND(ISNUMBER(F17),ISNUMBER(G17)),ROUND((G17-F17)*24,1),"")</f>
        <v/>
      </c>
      <c r="I17" s="13"/>
      <c r="J17" s="13"/>
      <c r="K17" s="13"/>
      <c r="L17" s="13"/>
      <c r="M17" s="14"/>
    </row>
    <row r="18" customFormat="false" ht="23.85" hidden="false" customHeight="false" outlineLevel="0" collapsed="false">
      <c r="A18" s="9" t="n">
        <v>12</v>
      </c>
      <c r="B18" s="10" t="s">
        <v>57</v>
      </c>
      <c r="C18" s="9" t="s">
        <v>18</v>
      </c>
      <c r="D18" s="10" t="s">
        <v>58</v>
      </c>
      <c r="E18" s="9" t="s">
        <v>59</v>
      </c>
      <c r="F18" s="11"/>
      <c r="G18" s="11"/>
      <c r="H18" s="12" t="str">
        <f aca="false">IF(AND(ISNUMBER(F18),ISNUMBER(G18)),ROUND((G18-F18)*24,1),"")</f>
        <v/>
      </c>
      <c r="I18" s="13"/>
      <c r="J18" s="13"/>
      <c r="K18" s="13"/>
      <c r="L18" s="13"/>
      <c r="M18" s="14"/>
    </row>
    <row r="19" customFormat="false" ht="15" hidden="false" customHeight="false" outlineLevel="0" collapsed="false">
      <c r="A19" s="9" t="n">
        <v>13</v>
      </c>
      <c r="B19" s="10" t="s">
        <v>60</v>
      </c>
      <c r="C19" s="9" t="s">
        <v>18</v>
      </c>
      <c r="D19" s="10" t="s">
        <v>61</v>
      </c>
      <c r="E19" s="9" t="s">
        <v>62</v>
      </c>
      <c r="F19" s="11"/>
      <c r="G19" s="11"/>
      <c r="H19" s="12" t="str">
        <f aca="false">IF(AND(ISNUMBER(F19),ISNUMBER(G19)),ROUND((G19-F19)*24,1),"")</f>
        <v/>
      </c>
      <c r="I19" s="13"/>
      <c r="J19" s="13"/>
      <c r="K19" s="13"/>
      <c r="L19" s="13"/>
      <c r="M19" s="14"/>
    </row>
    <row r="21" customFormat="false" ht="15" hidden="false" customHeight="false" outlineLevel="0" collapsed="false">
      <c r="B21" s="2" t="s">
        <v>63</v>
      </c>
      <c r="C21" s="15" t="n">
        <f aca="false">COUNTIF(I7:I19,"Sí")</f>
        <v>0</v>
      </c>
    </row>
    <row r="22" customFormat="false" ht="15" hidden="false" customHeight="false" outlineLevel="0" collapsed="false">
      <c r="B22" s="2" t="s">
        <v>64</v>
      </c>
      <c r="C22" s="16" t="str">
        <f aca="false">IFERROR(AVERAGE(H7:H19),"")</f>
        <v/>
      </c>
    </row>
  </sheetData>
  <dataValidations count="4">
    <dataValidation allowBlank="true" errorStyle="stop" operator="between" showDropDown="false" showErrorMessage="false" showInputMessage="false" sqref="I7:I19" type="list">
      <formula1>"Sí,No"</formula1>
      <formula2>0</formula2>
    </dataValidation>
    <dataValidation allowBlank="true" errorStyle="stop" operator="between" showDropDown="false" showErrorMessage="false" showInputMessage="false" sqref="J7:J19" type="list">
      <formula1>"Sí,No"</formula1>
      <formula2>0</formula2>
    </dataValidation>
    <dataValidation allowBlank="true" errorStyle="stop" operator="between" showDropDown="false" showErrorMessage="false" showInputMessage="false" sqref="K7:K19" type="list">
      <formula1>"Sí,No"</formula1>
      <formula2>0</formula2>
    </dataValidation>
    <dataValidation allowBlank="true" errorStyle="stop" operator="between" showDropDown="false" showErrorMessage="false" showInputMessage="false" sqref="L7:L19" type="list">
      <formula1>"Persona,Automático"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30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3" t="s">
        <v>65</v>
      </c>
    </row>
    <row r="2" customFormat="false" ht="15" hidden="false" customHeight="false" outlineLevel="0" collapsed="false">
      <c r="A2" s="17" t="s">
        <v>66</v>
      </c>
      <c r="B2" s="17" t="s">
        <v>4</v>
      </c>
      <c r="C2" s="17" t="s">
        <v>5</v>
      </c>
      <c r="D2" s="17" t="s">
        <v>6</v>
      </c>
      <c r="E2" s="17" t="s">
        <v>67</v>
      </c>
      <c r="F2" s="17" t="s">
        <v>68</v>
      </c>
      <c r="G2" s="17" t="s">
        <v>69</v>
      </c>
      <c r="H2" s="17" t="s">
        <v>70</v>
      </c>
      <c r="I2" s="17" t="s">
        <v>71</v>
      </c>
      <c r="J2" s="17" t="s">
        <v>15</v>
      </c>
      <c r="K2" s="17" t="s">
        <v>72</v>
      </c>
    </row>
    <row r="3" customFormat="false" ht="15" hidden="false" customHeight="false" outlineLevel="0" collapsed="false">
      <c r="A3" s="9" t="s">
        <v>73</v>
      </c>
      <c r="B3" s="10" t="s">
        <v>24</v>
      </c>
      <c r="C3" s="9" t="s">
        <v>25</v>
      </c>
      <c r="D3" s="10" t="s">
        <v>26</v>
      </c>
      <c r="E3" s="9"/>
      <c r="F3" s="9" t="s">
        <v>27</v>
      </c>
      <c r="G3" s="9"/>
      <c r="H3" s="9"/>
      <c r="I3" s="9" t="s">
        <v>74</v>
      </c>
      <c r="J3" s="10"/>
      <c r="K3" s="9" t="s">
        <v>75</v>
      </c>
    </row>
    <row r="4" customFormat="false" ht="15" hidden="false" customHeight="false" outlineLevel="0" collapsed="false">
      <c r="A4" s="9" t="s">
        <v>76</v>
      </c>
      <c r="B4" s="10" t="s">
        <v>28</v>
      </c>
      <c r="C4" s="9" t="s">
        <v>25</v>
      </c>
      <c r="D4" s="10" t="s">
        <v>29</v>
      </c>
      <c r="E4" s="9"/>
      <c r="F4" s="9" t="s">
        <v>30</v>
      </c>
      <c r="G4" s="9" t="s">
        <v>77</v>
      </c>
      <c r="H4" s="9"/>
      <c r="I4" s="9" t="s">
        <v>74</v>
      </c>
      <c r="J4" s="10"/>
      <c r="K4" s="9" t="s">
        <v>78</v>
      </c>
    </row>
    <row r="5" customFormat="false" ht="23.85" hidden="false" customHeight="false" outlineLevel="0" collapsed="false">
      <c r="A5" s="9" t="s">
        <v>79</v>
      </c>
      <c r="B5" s="10" t="s">
        <v>31</v>
      </c>
      <c r="C5" s="9" t="s">
        <v>25</v>
      </c>
      <c r="D5" s="10" t="s">
        <v>32</v>
      </c>
      <c r="E5" s="9"/>
      <c r="F5" s="9" t="s">
        <v>33</v>
      </c>
      <c r="G5" s="9" t="s">
        <v>80</v>
      </c>
      <c r="H5" s="9"/>
      <c r="I5" s="9" t="s">
        <v>74</v>
      </c>
      <c r="J5" s="10" t="s">
        <v>81</v>
      </c>
      <c r="K5" s="9" t="s">
        <v>82</v>
      </c>
    </row>
    <row r="6" customFormat="false" ht="23.85" hidden="false" customHeight="false" outlineLevel="0" collapsed="false">
      <c r="A6" s="9" t="s">
        <v>83</v>
      </c>
      <c r="B6" s="10" t="s">
        <v>34</v>
      </c>
      <c r="C6" s="9" t="s">
        <v>25</v>
      </c>
      <c r="D6" s="10" t="s">
        <v>35</v>
      </c>
      <c r="E6" s="9"/>
      <c r="F6" s="9" t="s">
        <v>36</v>
      </c>
      <c r="G6" s="9" t="s">
        <v>84</v>
      </c>
      <c r="H6" s="9"/>
      <c r="I6" s="9" t="s">
        <v>74</v>
      </c>
      <c r="J6" s="10" t="s">
        <v>85</v>
      </c>
      <c r="K6" s="9" t="s">
        <v>86</v>
      </c>
    </row>
    <row r="7" customFormat="false" ht="15" hidden="false" customHeight="false" outlineLevel="0" collapsed="false">
      <c r="A7" s="9" t="s">
        <v>87</v>
      </c>
      <c r="B7" s="10" t="s">
        <v>37</v>
      </c>
      <c r="C7" s="9" t="s">
        <v>25</v>
      </c>
      <c r="D7" s="10" t="s">
        <v>38</v>
      </c>
      <c r="E7" s="9"/>
      <c r="F7" s="9" t="s">
        <v>39</v>
      </c>
      <c r="G7" s="9" t="s">
        <v>88</v>
      </c>
      <c r="H7" s="9"/>
      <c r="I7" s="9" t="s">
        <v>74</v>
      </c>
      <c r="J7" s="10" t="s">
        <v>89</v>
      </c>
      <c r="K7" s="9" t="s">
        <v>90</v>
      </c>
    </row>
    <row r="8" customFormat="false" ht="23.85" hidden="false" customHeight="false" outlineLevel="0" collapsed="false">
      <c r="A8" s="9" t="s">
        <v>91</v>
      </c>
      <c r="B8" s="10" t="s">
        <v>40</v>
      </c>
      <c r="C8" s="9" t="s">
        <v>18</v>
      </c>
      <c r="D8" s="10" t="s">
        <v>41</v>
      </c>
      <c r="E8" s="9"/>
      <c r="F8" s="9" t="s">
        <v>42</v>
      </c>
      <c r="G8" s="9" t="s">
        <v>92</v>
      </c>
      <c r="H8" s="9"/>
      <c r="I8" s="9" t="s">
        <v>74</v>
      </c>
      <c r="J8" s="10" t="s">
        <v>93</v>
      </c>
      <c r="K8" s="9" t="s">
        <v>94</v>
      </c>
    </row>
    <row r="9" customFormat="false" ht="23.85" hidden="false" customHeight="false" outlineLevel="0" collapsed="false">
      <c r="A9" s="9" t="s">
        <v>95</v>
      </c>
      <c r="B9" s="10" t="s">
        <v>43</v>
      </c>
      <c r="C9" s="9" t="s">
        <v>18</v>
      </c>
      <c r="D9" s="10" t="s">
        <v>44</v>
      </c>
      <c r="E9" s="9" t="s">
        <v>96</v>
      </c>
      <c r="F9" s="9" t="s">
        <v>45</v>
      </c>
      <c r="G9" s="9" t="s">
        <v>97</v>
      </c>
      <c r="H9" s="9"/>
      <c r="I9" s="9" t="s">
        <v>74</v>
      </c>
      <c r="J9" s="10" t="s">
        <v>98</v>
      </c>
      <c r="K9" s="9" t="s">
        <v>99</v>
      </c>
    </row>
    <row r="10" customFormat="false" ht="15" hidden="false" customHeight="false" outlineLevel="0" collapsed="false">
      <c r="A10" s="9" t="s">
        <v>100</v>
      </c>
      <c r="B10" s="10" t="s">
        <v>46</v>
      </c>
      <c r="C10" s="9" t="s">
        <v>18</v>
      </c>
      <c r="D10" s="10" t="s">
        <v>47</v>
      </c>
      <c r="E10" s="9"/>
      <c r="F10" s="9" t="s">
        <v>48</v>
      </c>
      <c r="G10" s="9" t="s">
        <v>101</v>
      </c>
      <c r="H10" s="9"/>
      <c r="I10" s="9" t="s">
        <v>74</v>
      </c>
      <c r="J10" s="10" t="s">
        <v>102</v>
      </c>
      <c r="K10" s="9" t="s">
        <v>103</v>
      </c>
    </row>
    <row r="11" customFormat="false" ht="23.85" hidden="false" customHeight="false" outlineLevel="0" collapsed="false">
      <c r="A11" s="9" t="s">
        <v>104</v>
      </c>
      <c r="B11" s="10" t="s">
        <v>49</v>
      </c>
      <c r="C11" s="9" t="s">
        <v>18</v>
      </c>
      <c r="D11" s="10" t="s">
        <v>50</v>
      </c>
      <c r="E11" s="9"/>
      <c r="F11" s="9" t="s">
        <v>51</v>
      </c>
      <c r="G11" s="9" t="s">
        <v>105</v>
      </c>
      <c r="H11" s="9"/>
      <c r="I11" s="9" t="s">
        <v>74</v>
      </c>
      <c r="J11" s="10" t="s">
        <v>106</v>
      </c>
      <c r="K11" s="9" t="s">
        <v>107</v>
      </c>
    </row>
    <row r="12" customFormat="false" ht="23.85" hidden="false" customHeight="false" outlineLevel="0" collapsed="false">
      <c r="A12" s="9" t="s">
        <v>108</v>
      </c>
      <c r="B12" s="10" t="s">
        <v>109</v>
      </c>
      <c r="C12" s="9" t="s">
        <v>18</v>
      </c>
      <c r="D12" s="10" t="s">
        <v>110</v>
      </c>
      <c r="E12" s="9"/>
      <c r="F12" s="9" t="s">
        <v>111</v>
      </c>
      <c r="G12" s="9" t="s">
        <v>112</v>
      </c>
      <c r="H12" s="9"/>
      <c r="I12" s="9" t="s">
        <v>74</v>
      </c>
      <c r="J12" s="10" t="s">
        <v>113</v>
      </c>
      <c r="K12" s="9" t="s">
        <v>114</v>
      </c>
    </row>
    <row r="13" customFormat="false" ht="15" hidden="false" customHeight="false" outlineLevel="0" collapsed="false">
      <c r="A13" s="9" t="s">
        <v>115</v>
      </c>
      <c r="B13" s="10" t="s">
        <v>52</v>
      </c>
      <c r="C13" s="9" t="s">
        <v>18</v>
      </c>
      <c r="D13" s="10"/>
      <c r="E13" s="9"/>
      <c r="F13" s="9" t="s">
        <v>53</v>
      </c>
      <c r="G13" s="9" t="s">
        <v>116</v>
      </c>
      <c r="H13" s="9"/>
      <c r="I13" s="9" t="s">
        <v>74</v>
      </c>
      <c r="J13" s="10" t="s">
        <v>117</v>
      </c>
      <c r="K13" s="9" t="s">
        <v>118</v>
      </c>
    </row>
    <row r="14" customFormat="false" ht="23.85" hidden="false" customHeight="false" outlineLevel="0" collapsed="false">
      <c r="A14" s="9" t="s">
        <v>119</v>
      </c>
      <c r="B14" s="10" t="s">
        <v>54</v>
      </c>
      <c r="C14" s="9" t="s">
        <v>18</v>
      </c>
      <c r="D14" s="10" t="s">
        <v>55</v>
      </c>
      <c r="E14" s="9"/>
      <c r="F14" s="9" t="s">
        <v>56</v>
      </c>
      <c r="G14" s="9" t="s">
        <v>120</v>
      </c>
      <c r="H14" s="9" t="s">
        <v>121</v>
      </c>
      <c r="I14" s="9" t="s">
        <v>74</v>
      </c>
      <c r="J14" s="10" t="s">
        <v>122</v>
      </c>
      <c r="K14" s="9" t="s">
        <v>123</v>
      </c>
    </row>
    <row r="15" customFormat="false" ht="23.85" hidden="false" customHeight="false" outlineLevel="0" collapsed="false">
      <c r="A15" s="9" t="s">
        <v>124</v>
      </c>
      <c r="B15" s="10" t="s">
        <v>57</v>
      </c>
      <c r="C15" s="9" t="s">
        <v>18</v>
      </c>
      <c r="D15" s="10" t="s">
        <v>58</v>
      </c>
      <c r="E15" s="9"/>
      <c r="F15" s="9" t="s">
        <v>59</v>
      </c>
      <c r="G15" s="9" t="s">
        <v>125</v>
      </c>
      <c r="H15" s="9"/>
      <c r="I15" s="9" t="s">
        <v>74</v>
      </c>
      <c r="J15" s="10" t="s">
        <v>126</v>
      </c>
      <c r="K15" s="9" t="s">
        <v>127</v>
      </c>
    </row>
    <row r="16" customFormat="false" ht="15" hidden="false" customHeight="false" outlineLevel="0" collapsed="false">
      <c r="A16" s="9" t="s">
        <v>128</v>
      </c>
      <c r="B16" s="10" t="s">
        <v>60</v>
      </c>
      <c r="C16" s="9" t="s">
        <v>18</v>
      </c>
      <c r="D16" s="10" t="s">
        <v>61</v>
      </c>
      <c r="E16" s="9"/>
      <c r="F16" s="9" t="s">
        <v>62</v>
      </c>
      <c r="G16" s="9" t="s">
        <v>129</v>
      </c>
      <c r="H16" s="9"/>
      <c r="I16" s="9" t="s">
        <v>74</v>
      </c>
      <c r="J16" s="10" t="s">
        <v>130</v>
      </c>
      <c r="K16" s="9" t="s">
        <v>131</v>
      </c>
    </row>
    <row r="17" customFormat="false" ht="15" hidden="false" customHeight="false" outlineLevel="0" collapsed="false">
      <c r="A17" s="9" t="s">
        <v>132</v>
      </c>
      <c r="B17" s="10" t="s">
        <v>133</v>
      </c>
      <c r="C17" s="9" t="s">
        <v>25</v>
      </c>
      <c r="D17" s="10" t="s">
        <v>134</v>
      </c>
      <c r="E17" s="9" t="s">
        <v>135</v>
      </c>
      <c r="F17" s="9"/>
      <c r="G17" s="9" t="s">
        <v>136</v>
      </c>
      <c r="H17" s="9"/>
      <c r="I17" s="9" t="s">
        <v>137</v>
      </c>
      <c r="J17" s="10" t="s">
        <v>138</v>
      </c>
      <c r="K17" s="9" t="s">
        <v>139</v>
      </c>
    </row>
    <row r="18" customFormat="false" ht="15" hidden="false" customHeight="false" outlineLevel="0" collapsed="false">
      <c r="A18" s="9" t="s">
        <v>140</v>
      </c>
      <c r="B18" s="10" t="s">
        <v>141</v>
      </c>
      <c r="C18" s="9" t="s">
        <v>25</v>
      </c>
      <c r="D18" s="10" t="s">
        <v>142</v>
      </c>
      <c r="E18" s="9" t="s">
        <v>143</v>
      </c>
      <c r="F18" s="9"/>
      <c r="G18" s="9"/>
      <c r="H18" s="9"/>
      <c r="I18" s="9" t="s">
        <v>137</v>
      </c>
      <c r="J18" s="10" t="s">
        <v>144</v>
      </c>
      <c r="K18" s="9" t="s">
        <v>145</v>
      </c>
    </row>
    <row r="19" customFormat="false" ht="15" hidden="false" customHeight="false" outlineLevel="0" collapsed="false">
      <c r="A19" s="9" t="s">
        <v>146</v>
      </c>
      <c r="B19" s="10" t="s">
        <v>147</v>
      </c>
      <c r="C19" s="9" t="s">
        <v>25</v>
      </c>
      <c r="D19" s="10" t="s">
        <v>148</v>
      </c>
      <c r="E19" s="9" t="s">
        <v>149</v>
      </c>
      <c r="F19" s="9"/>
      <c r="G19" s="9"/>
      <c r="H19" s="9"/>
      <c r="I19" s="9" t="s">
        <v>137</v>
      </c>
      <c r="J19" s="10" t="s">
        <v>144</v>
      </c>
      <c r="K19" s="9" t="s">
        <v>150</v>
      </c>
    </row>
    <row r="20" customFormat="false" ht="15" hidden="false" customHeight="false" outlineLevel="0" collapsed="false">
      <c r="A20" s="9" t="s">
        <v>151</v>
      </c>
      <c r="B20" s="10" t="s">
        <v>152</v>
      </c>
      <c r="C20" s="9" t="s">
        <v>25</v>
      </c>
      <c r="D20" s="10" t="s">
        <v>153</v>
      </c>
      <c r="E20" s="9"/>
      <c r="F20" s="9"/>
      <c r="G20" s="9" t="s">
        <v>154</v>
      </c>
      <c r="H20" s="9"/>
      <c r="I20" s="9" t="s">
        <v>137</v>
      </c>
      <c r="J20" s="10" t="s">
        <v>155</v>
      </c>
      <c r="K20" s="9" t="s">
        <v>156</v>
      </c>
    </row>
    <row r="21" customFormat="false" ht="15" hidden="false" customHeight="false" outlineLevel="0" collapsed="false">
      <c r="A21" s="9" t="s">
        <v>157</v>
      </c>
      <c r="B21" s="10" t="s">
        <v>158</v>
      </c>
      <c r="C21" s="9" t="s">
        <v>18</v>
      </c>
      <c r="D21" s="10" t="s">
        <v>159</v>
      </c>
      <c r="E21" s="9" t="s">
        <v>160</v>
      </c>
      <c r="F21" s="9"/>
      <c r="G21" s="9"/>
      <c r="H21" s="9"/>
      <c r="I21" s="9" t="s">
        <v>137</v>
      </c>
      <c r="J21" s="10" t="s">
        <v>161</v>
      </c>
      <c r="K21" s="9" t="s">
        <v>162</v>
      </c>
    </row>
    <row r="22" customFormat="false" ht="15" hidden="false" customHeight="false" outlineLevel="0" collapsed="false">
      <c r="A22" s="9" t="s">
        <v>163</v>
      </c>
      <c r="B22" s="10" t="s">
        <v>164</v>
      </c>
      <c r="C22" s="9" t="s">
        <v>18</v>
      </c>
      <c r="D22" s="10" t="s">
        <v>165</v>
      </c>
      <c r="E22" s="9" t="s">
        <v>160</v>
      </c>
      <c r="F22" s="9"/>
      <c r="G22" s="9"/>
      <c r="H22" s="9"/>
      <c r="I22" s="9" t="s">
        <v>137</v>
      </c>
      <c r="J22" s="10" t="s">
        <v>161</v>
      </c>
      <c r="K22" s="9" t="s">
        <v>166</v>
      </c>
    </row>
    <row r="23" customFormat="false" ht="15" hidden="false" customHeight="false" outlineLevel="0" collapsed="false">
      <c r="A23" s="9" t="s">
        <v>167</v>
      </c>
      <c r="B23" s="10" t="s">
        <v>168</v>
      </c>
      <c r="C23" s="9" t="s">
        <v>18</v>
      </c>
      <c r="D23" s="10" t="s">
        <v>169</v>
      </c>
      <c r="E23" s="9" t="s">
        <v>170</v>
      </c>
      <c r="F23" s="9"/>
      <c r="G23" s="9"/>
      <c r="H23" s="9"/>
      <c r="I23" s="9" t="s">
        <v>137</v>
      </c>
      <c r="J23" s="10" t="s">
        <v>144</v>
      </c>
      <c r="K23" s="9" t="s">
        <v>171</v>
      </c>
    </row>
    <row r="24" customFormat="false" ht="15" hidden="false" customHeight="false" outlineLevel="0" collapsed="false">
      <c r="A24" s="9" t="s">
        <v>172</v>
      </c>
      <c r="B24" s="10" t="s">
        <v>173</v>
      </c>
      <c r="C24" s="9" t="s">
        <v>18</v>
      </c>
      <c r="D24" s="10" t="s">
        <v>174</v>
      </c>
      <c r="E24" s="9"/>
      <c r="F24" s="9"/>
      <c r="G24" s="9" t="s">
        <v>175</v>
      </c>
      <c r="H24" s="9"/>
      <c r="I24" s="9" t="s">
        <v>137</v>
      </c>
      <c r="J24" s="10" t="s">
        <v>176</v>
      </c>
      <c r="K24" s="9" t="s">
        <v>177</v>
      </c>
    </row>
    <row r="25" customFormat="false" ht="23.85" hidden="false" customHeight="false" outlineLevel="0" collapsed="false">
      <c r="A25" s="9" t="s">
        <v>178</v>
      </c>
      <c r="B25" s="10" t="s">
        <v>179</v>
      </c>
      <c r="C25" s="9" t="s">
        <v>18</v>
      </c>
      <c r="D25" s="10" t="s">
        <v>180</v>
      </c>
      <c r="E25" s="9" t="s">
        <v>181</v>
      </c>
      <c r="F25" s="9"/>
      <c r="G25" s="9" t="s">
        <v>136</v>
      </c>
      <c r="H25" s="9"/>
      <c r="I25" s="9" t="s">
        <v>137</v>
      </c>
      <c r="J25" s="10" t="s">
        <v>182</v>
      </c>
      <c r="K25" s="9" t="s">
        <v>183</v>
      </c>
    </row>
    <row r="26" customFormat="false" ht="23.85" hidden="false" customHeight="false" outlineLevel="0" collapsed="false">
      <c r="A26" s="9" t="s">
        <v>184</v>
      </c>
      <c r="B26" s="10" t="s">
        <v>185</v>
      </c>
      <c r="C26" s="9" t="s">
        <v>18</v>
      </c>
      <c r="D26" s="10"/>
      <c r="E26" s="9"/>
      <c r="F26" s="9"/>
      <c r="G26" s="9" t="s">
        <v>186</v>
      </c>
      <c r="H26" s="9"/>
      <c r="I26" s="9" t="s">
        <v>137</v>
      </c>
      <c r="J26" s="10" t="s">
        <v>187</v>
      </c>
      <c r="K26" s="9" t="s">
        <v>188</v>
      </c>
    </row>
    <row r="27" customFormat="false" ht="23.85" hidden="false" customHeight="false" outlineLevel="0" collapsed="false">
      <c r="A27" s="9" t="s">
        <v>189</v>
      </c>
      <c r="B27" s="10" t="s">
        <v>190</v>
      </c>
      <c r="C27" s="9" t="s">
        <v>18</v>
      </c>
      <c r="D27" s="10"/>
      <c r="E27" s="9"/>
      <c r="F27" s="9" t="s">
        <v>191</v>
      </c>
      <c r="G27" s="9" t="s">
        <v>192</v>
      </c>
      <c r="H27" s="9"/>
      <c r="I27" s="9" t="s">
        <v>137</v>
      </c>
      <c r="J27" s="10" t="s">
        <v>193</v>
      </c>
      <c r="K27" s="9" t="s">
        <v>194</v>
      </c>
    </row>
    <row r="28" customFormat="false" ht="23.85" hidden="false" customHeight="false" outlineLevel="0" collapsed="false">
      <c r="A28" s="9" t="s">
        <v>195</v>
      </c>
      <c r="B28" s="10" t="s">
        <v>196</v>
      </c>
      <c r="C28" s="9" t="s">
        <v>18</v>
      </c>
      <c r="D28" s="10"/>
      <c r="E28" s="9"/>
      <c r="F28" s="9"/>
      <c r="G28" s="9" t="s">
        <v>197</v>
      </c>
      <c r="H28" s="9"/>
      <c r="I28" s="9" t="s">
        <v>137</v>
      </c>
      <c r="J28" s="10" t="s">
        <v>198</v>
      </c>
      <c r="K28" s="9" t="s">
        <v>199</v>
      </c>
    </row>
    <row r="29" customFormat="false" ht="15" hidden="false" customHeight="false" outlineLevel="0" collapsed="false">
      <c r="A29" s="9" t="s">
        <v>200</v>
      </c>
      <c r="B29" s="10" t="s">
        <v>201</v>
      </c>
      <c r="C29" s="9" t="s">
        <v>18</v>
      </c>
      <c r="D29" s="10" t="s">
        <v>202</v>
      </c>
      <c r="E29" s="9"/>
      <c r="F29" s="9"/>
      <c r="G29" s="9" t="s">
        <v>203</v>
      </c>
      <c r="H29" s="9"/>
      <c r="I29" s="9" t="s">
        <v>137</v>
      </c>
      <c r="J29" s="10" t="s">
        <v>204</v>
      </c>
      <c r="K29" s="9" t="s">
        <v>205</v>
      </c>
    </row>
    <row r="30" customFormat="false" ht="23.85" hidden="false" customHeight="false" outlineLevel="0" collapsed="false">
      <c r="A30" s="9" t="s">
        <v>206</v>
      </c>
      <c r="B30" s="10" t="s">
        <v>207</v>
      </c>
      <c r="C30" s="9" t="s">
        <v>18</v>
      </c>
      <c r="D30" s="10" t="s">
        <v>208</v>
      </c>
      <c r="E30" s="9"/>
      <c r="F30" s="9"/>
      <c r="G30" s="9" t="s">
        <v>203</v>
      </c>
      <c r="H30" s="9"/>
      <c r="I30" s="9" t="s">
        <v>137</v>
      </c>
      <c r="J30" s="10" t="s">
        <v>209</v>
      </c>
      <c r="K30" s="9" t="s">
        <v>210</v>
      </c>
    </row>
    <row r="31" customFormat="false" ht="15" hidden="false" customHeight="false" outlineLevel="0" collapsed="false">
      <c r="A31" s="9" t="s">
        <v>211</v>
      </c>
      <c r="B31" s="10" t="s">
        <v>212</v>
      </c>
      <c r="C31" s="9" t="s">
        <v>18</v>
      </c>
      <c r="D31" s="10" t="s">
        <v>213</v>
      </c>
      <c r="E31" s="9"/>
      <c r="F31" s="9"/>
      <c r="G31" s="9" t="s">
        <v>203</v>
      </c>
      <c r="H31" s="9"/>
      <c r="I31" s="9" t="s">
        <v>137</v>
      </c>
      <c r="J31" s="10" t="s">
        <v>214</v>
      </c>
      <c r="K31" s="9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2026-10-28T02:34:59Z</dcterms:created>
  <dc:creator>openpyxl</dc:creator>
  <dc:description/>
  <dc:language>en-US</dc:language>
  <cp:lastModifiedBy/>
  <dcterms:modified xsi:type="dcterms:W3CDTF">2026-10-28T02:34:59Z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